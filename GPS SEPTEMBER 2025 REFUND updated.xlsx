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4e5cd04accf0fc/Desktop/"/>
    </mc:Choice>
  </mc:AlternateContent>
  <xr:revisionPtr revIDLastSave="0" documentId="8_{CD8FCE19-9E0B-45B8-AC2F-FC3D590FDD44}" xr6:coauthVersionLast="47" xr6:coauthVersionMax="47" xr10:uidLastSave="{00000000-0000-0000-0000-000000000000}"/>
  <bookViews>
    <workbookView xWindow="-120" yWindow="-120" windowWidth="20730" windowHeight="11160" xr2:uid="{6AD3EEB6-08BD-4BF8-ADFF-295A4E0D86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F47" i="1" s="1"/>
  <c r="C48" i="1"/>
  <c r="E9" i="2"/>
  <c r="F9" i="2" s="1"/>
  <c r="E8" i="2"/>
  <c r="F8" i="2" s="1"/>
  <c r="E7" i="2"/>
  <c r="F7" i="2" s="1"/>
  <c r="E6" i="2"/>
  <c r="F6" i="2" s="1"/>
  <c r="E4" i="2"/>
  <c r="F4" i="2" s="1"/>
  <c r="E3" i="2"/>
  <c r="F3" i="2" s="1"/>
  <c r="E2" i="2"/>
  <c r="F2" i="2" s="1"/>
  <c r="E46" i="1"/>
  <c r="F46" i="1" s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25" i="1" l="1"/>
  <c r="F25" i="1" s="1"/>
  <c r="E33" i="1"/>
  <c r="F33" i="1" s="1"/>
  <c r="E31" i="1"/>
  <c r="F31" i="1" s="1"/>
  <c r="E32" i="1"/>
  <c r="F32" i="1" s="1"/>
  <c r="E30" i="1"/>
  <c r="F30" i="1" s="1"/>
  <c r="E29" i="1"/>
  <c r="F29" i="1" s="1"/>
  <c r="E28" i="1"/>
  <c r="F28" i="1" s="1"/>
  <c r="E27" i="1"/>
  <c r="F27" i="1" s="1"/>
  <c r="E26" i="1"/>
  <c r="F26" i="1" s="1"/>
  <c r="F48" i="1" l="1"/>
  <c r="E48" i="1"/>
</calcChain>
</file>

<file path=xl/sharedStrings.xml><?xml version="1.0" encoding="utf-8"?>
<sst xmlns="http://schemas.openxmlformats.org/spreadsheetml/2006/main" count="230" uniqueCount="115">
  <si>
    <t>STAFF ID</t>
  </si>
  <si>
    <t>NAMES</t>
  </si>
  <si>
    <t>AMOUNT</t>
  </si>
  <si>
    <t>STATUS</t>
  </si>
  <si>
    <t>LESS 3%</t>
  </si>
  <si>
    <t>NET</t>
  </si>
  <si>
    <t>CONTACT</t>
  </si>
  <si>
    <t>Remarks</t>
  </si>
  <si>
    <t>11205131</t>
  </si>
  <si>
    <t>CPL BERHENE, SYLVESTER NANA KWAME</t>
  </si>
  <si>
    <t>10811077</t>
  </si>
  <si>
    <t>SGT GAUSU, MOHAMMED</t>
  </si>
  <si>
    <t>35558</t>
  </si>
  <si>
    <t>C/INSP/RSM AGBELI, DANIEL KOFI</t>
  </si>
  <si>
    <t>10809094</t>
  </si>
  <si>
    <t>INSPR/DSM ADDISON, JAMES</t>
  </si>
  <si>
    <t>10603570</t>
  </si>
  <si>
    <t>INSPR/DSM MUSTAPHA, LASIRU</t>
  </si>
  <si>
    <t>11701640</t>
  </si>
  <si>
    <t>L/CPL OPPONG, OSEI JOHN</t>
  </si>
  <si>
    <t>11205286</t>
  </si>
  <si>
    <t>SGT BOAKYE, ANSAH</t>
  </si>
  <si>
    <t>11205123</t>
  </si>
  <si>
    <t>SGT LAMPTEY, JEDIDIAH</t>
  </si>
  <si>
    <t>10610535</t>
  </si>
  <si>
    <t>INSPR/DSM ARTHUR, HARISON</t>
  </si>
  <si>
    <t>37416</t>
  </si>
  <si>
    <t>C/INSP/RSM HABIB, FUSEINI</t>
  </si>
  <si>
    <t>10808160</t>
  </si>
  <si>
    <t>SGT ADDAI-MENSAH, LORD</t>
  </si>
  <si>
    <t>11307305</t>
  </si>
  <si>
    <t>CPL DODI, ISAAC KWEKU</t>
  </si>
  <si>
    <t>11212307</t>
  </si>
  <si>
    <t>CPL SEIDU, AYISHATA AMANTANA</t>
  </si>
  <si>
    <t>34687</t>
  </si>
  <si>
    <t>C/INSP/RSM OBIMPEH, SAVIOUR</t>
  </si>
  <si>
    <t>10605229</t>
  </si>
  <si>
    <t>INSPR/DSM DEBRAH, DENNIS</t>
  </si>
  <si>
    <t>12008070</t>
  </si>
  <si>
    <t>L/CPL AMEGEE, EUGENIA CHRISTABEL</t>
  </si>
  <si>
    <t>11205653</t>
  </si>
  <si>
    <t>SGT ANOKYE, BRIGHT</t>
  </si>
  <si>
    <t>10611273</t>
  </si>
  <si>
    <t>INSPR/DSM NUNOO, ERIC KWAKU</t>
  </si>
  <si>
    <t>10630884</t>
  </si>
  <si>
    <t>INSPR/DSM ASIEDU, ABEL</t>
  </si>
  <si>
    <t>120Y1335</t>
  </si>
  <si>
    <t>CONST OSEI MENSAH, RABBI</t>
  </si>
  <si>
    <t>11410026</t>
  </si>
  <si>
    <t>CPL BAIDOO, SYLVESTER</t>
  </si>
  <si>
    <t>12102120</t>
  </si>
  <si>
    <t>CONST OFORI, AGYEKUM EMMANUEL</t>
  </si>
  <si>
    <t>37389</t>
  </si>
  <si>
    <t>C/INSP/RSM FRINJEI, SULEMANA ALIDU</t>
  </si>
  <si>
    <t>2960</t>
  </si>
  <si>
    <t>C/INSP/RSM ADJEI-MARFO, LUCY</t>
  </si>
  <si>
    <t>33015</t>
  </si>
  <si>
    <t>C/INSP/RSM AMUZU, IBRAHIM TOFFICK</t>
  </si>
  <si>
    <t>12231134</t>
  </si>
  <si>
    <t>CONST OSEI-BONSU, IRENE</t>
  </si>
  <si>
    <t>10706062</t>
  </si>
  <si>
    <t>INSPR/DSM SALIFU, MORO</t>
  </si>
  <si>
    <t>33981</t>
  </si>
  <si>
    <t>C/INSP/RSM AKAGBO, JOHN KEN</t>
  </si>
  <si>
    <t>11105284</t>
  </si>
  <si>
    <t>SGT KPODO, FRANCIS</t>
  </si>
  <si>
    <t>11701441</t>
  </si>
  <si>
    <t>L/CPL GBEFO, ERNEST KOJO</t>
  </si>
  <si>
    <t>21007006</t>
  </si>
  <si>
    <t>C/INSP/RSM NYAABA, JONATHAN</t>
  </si>
  <si>
    <t>10706324</t>
  </si>
  <si>
    <t>INSPR/DSM OPPONG, JUVENTIUS BONNAH</t>
  </si>
  <si>
    <t>35493</t>
  </si>
  <si>
    <t>C/INSP/RSM AYIVI, TIMOTHY</t>
  </si>
  <si>
    <t>PAID OFF</t>
  </si>
  <si>
    <t>11903781</t>
  </si>
  <si>
    <t>L/CPL ADJEI, ALFRED ANDOH</t>
  </si>
  <si>
    <t>10706437</t>
  </si>
  <si>
    <t>INSPR/DSM AGYEMAN, KWAME DUAH</t>
  </si>
  <si>
    <t>80000022</t>
  </si>
  <si>
    <t>C/INSP/RSM FRIMPONG-MANSO, BENNETTE</t>
  </si>
  <si>
    <t>12221080</t>
  </si>
  <si>
    <t>CONST DERY, RUTH</t>
  </si>
  <si>
    <t>11105595</t>
  </si>
  <si>
    <t>SGT APPAIH-KUBI, PRINCE KWESI</t>
  </si>
  <si>
    <t>11305459</t>
  </si>
  <si>
    <t>CPL DAPILAH, CYRIL</t>
  </si>
  <si>
    <t>34222</t>
  </si>
  <si>
    <t>C/INSP/RSM YAKUBU, GEORGE T</t>
  </si>
  <si>
    <t>11211564</t>
  </si>
  <si>
    <t>CPL IBRAHIM, NUHU</t>
  </si>
  <si>
    <t>12004293</t>
  </si>
  <si>
    <t>L/CPL OPPONG, SHADRACK</t>
  </si>
  <si>
    <t>11212237</t>
  </si>
  <si>
    <t>CPL SENAHIA, MICHAEL</t>
  </si>
  <si>
    <t>10706450</t>
  </si>
  <si>
    <t>INSPR/DSM AGGREY, FAUSTINA NANA AMA</t>
  </si>
  <si>
    <t>11306080</t>
  </si>
  <si>
    <t>CPL ARCHER, DAVID</t>
  </si>
  <si>
    <t>10710078</t>
  </si>
  <si>
    <t>INSPR/DSM LAMPTEY, NII ODARTEY</t>
  </si>
  <si>
    <t>38644</t>
  </si>
  <si>
    <t>C/INSP/RSM PIU, EMMANUEL</t>
  </si>
  <si>
    <t>10811323</t>
  </si>
  <si>
    <t>INSPR/DSM YENTUMI, VICTOR</t>
  </si>
  <si>
    <t>36795</t>
  </si>
  <si>
    <t>C/INSP/RSM OTSIN, JOSEPH</t>
  </si>
  <si>
    <t>39051</t>
  </si>
  <si>
    <t>INSPR/DSM AYIM, EDMOND</t>
  </si>
  <si>
    <t>TOTAL</t>
  </si>
  <si>
    <t>SEPTEMBER</t>
  </si>
  <si>
    <t>N/A</t>
  </si>
  <si>
    <t>PAID</t>
  </si>
  <si>
    <t>N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</si>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</sst>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entury Gothic"/>
      <family val="2"/>
    </font>
    <font>
      <sz val="10"/>
      <color indexed="8"/>
      <name val="Arial"/>
      <family val="2"/>
    </font>
    <font>
      <sz val="10"/>
      <color indexed="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</cellStyleXfs>
  <cellXfs count="14">
    <xf numFmtId="0" fontId="0" fillId="0" borderId="0" xfId="0"/>
    <xf numFmtId="0" fontId="4" fillId="2" borderId="1" xfId="3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4" fillId="2" borderId="1" xfId="2" applyFont="1" applyFill="1" applyBorder="1" applyAlignment="1">
      <alignment horizontal="center" wrapText="1"/>
    </xf>
    <xf numFmtId="4" fontId="4" fillId="2" borderId="1" xfId="2" applyNumberFormat="1" applyFont="1" applyFill="1" applyBorder="1" applyAlignment="1">
      <alignment horizontal="center" wrapText="1"/>
    </xf>
    <xf numFmtId="2" fontId="4" fillId="2" borderId="1" xfId="3" applyNumberFormat="1" applyFont="1" applyFill="1" applyBorder="1" applyAlignment="1">
      <alignment horizontal="center" wrapText="1"/>
    </xf>
    <xf numFmtId="0" fontId="0" fillId="2" borderId="0" xfId="0" applyFill="1"/>
    <xf numFmtId="0" fontId="2" fillId="2" borderId="1" xfId="0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2" fontId="2" fillId="2" borderId="1" xfId="1" applyNumberFormat="1" applyFont="1" applyFill="1" applyBorder="1" applyAlignment="1">
      <alignment horizontal="center" wrapText="1"/>
    </xf>
    <xf numFmtId="4" fontId="4" fillId="2" borderId="1" xfId="3" applyNumberFormat="1" applyFont="1" applyFill="1" applyBorder="1" applyAlignment="1">
      <alignment horizontal="center" wrapText="1"/>
    </xf>
    <xf numFmtId="4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Police 0925" xfId="2" xr:uid="{7DCD662F-6303-4468-80F9-A9EB9B223460}"/>
    <cellStyle name="Normal_Sheet1" xfId="3" xr:uid="{E2BFCEBE-931B-4F4E-A2A2-20D630EBD6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E6F2-066C-4243-AF97-16485D28B331}">
  <dimension ref="A1:H48"/>
  <sheetViews>
    <sheetView tabSelected="1" topLeftCell="A32" zoomScale="110" zoomScaleNormal="110" workbookViewId="0">
      <selection activeCell="B48" sqref="B48"/>
    </sheetView>
  </sheetViews>
  <sheetFormatPr defaultRowHeight="15" x14ac:dyDescent="0.25"/>
  <cols>
    <col min="1" max="1" width="11.85546875" customWidth="1"/>
    <col min="2" max="2" width="41.85546875" customWidth="1"/>
    <col min="3" max="3" width="11.42578125" customWidth="1"/>
    <col min="5" max="5" width="9.5703125" bestFit="1" customWidth="1"/>
    <col min="6" max="6" width="10.5703125" bestFit="1" customWidth="1"/>
    <col min="7" max="7" width="17.5703125" customWidth="1"/>
    <col min="8" max="8" width="14.28515625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8" t="s">
        <v>7</v>
      </c>
    </row>
    <row r="2" spans="1:8" x14ac:dyDescent="0.25">
      <c r="A2" s="4" t="s">
        <v>10</v>
      </c>
      <c r="B2" s="4" t="s">
        <v>11</v>
      </c>
      <c r="C2" s="5">
        <v>820</v>
      </c>
      <c r="D2" s="1" t="s">
        <v>74</v>
      </c>
      <c r="E2" s="6">
        <f t="shared" ref="E2:E24" si="0">C2*3%</f>
        <v>24.599999999999998</v>
      </c>
      <c r="F2" s="6">
        <f t="shared" ref="F2:F24" si="1">C2-E2</f>
        <v>795.4</v>
      </c>
      <c r="G2" s="2">
        <v>248274606</v>
      </c>
      <c r="H2" s="2" t="s">
        <v>110</v>
      </c>
    </row>
    <row r="3" spans="1:8" s="7" customFormat="1" x14ac:dyDescent="0.25">
      <c r="A3" s="4" t="s">
        <v>12</v>
      </c>
      <c r="B3" s="4" t="s">
        <v>13</v>
      </c>
      <c r="C3" s="5">
        <v>307</v>
      </c>
      <c r="D3" s="1" t="s">
        <v>74</v>
      </c>
      <c r="E3" s="6">
        <f t="shared" si="0"/>
        <v>9.2099999999999991</v>
      </c>
      <c r="F3" s="6">
        <f t="shared" si="1"/>
        <v>297.79000000000002</v>
      </c>
      <c r="G3" s="2">
        <v>548769052</v>
      </c>
      <c r="H3" s="2" t="s">
        <v>110</v>
      </c>
    </row>
    <row r="4" spans="1:8" x14ac:dyDescent="0.25">
      <c r="A4" s="4" t="s">
        <v>16</v>
      </c>
      <c r="B4" s="4" t="s">
        <v>17</v>
      </c>
      <c r="C4" s="5">
        <v>492</v>
      </c>
      <c r="D4" s="1" t="s">
        <v>74</v>
      </c>
      <c r="E4" s="6">
        <f t="shared" si="0"/>
        <v>14.76</v>
      </c>
      <c r="F4" s="6">
        <f t="shared" si="1"/>
        <v>477.24</v>
      </c>
      <c r="G4" s="2">
        <v>500043310</v>
      </c>
      <c r="H4" s="2" t="s">
        <v>110</v>
      </c>
    </row>
    <row r="5" spans="1:8" s="3" customFormat="1" x14ac:dyDescent="0.25">
      <c r="A5" s="4" t="s">
        <v>22</v>
      </c>
      <c r="B5" s="4" t="s">
        <v>23</v>
      </c>
      <c r="C5" s="5">
        <v>463</v>
      </c>
      <c r="D5" s="1" t="s">
        <v>74</v>
      </c>
      <c r="E5" s="6">
        <f t="shared" si="0"/>
        <v>13.889999999999999</v>
      </c>
      <c r="F5" s="6">
        <f t="shared" si="1"/>
        <v>449.11</v>
      </c>
      <c r="G5" s="2">
        <v>244572612</v>
      </c>
      <c r="H5" s="2" t="s">
        <v>110</v>
      </c>
    </row>
    <row r="6" spans="1:8" s="3" customFormat="1" x14ac:dyDescent="0.25">
      <c r="A6" s="4" t="s">
        <v>24</v>
      </c>
      <c r="B6" s="4" t="s">
        <v>25</v>
      </c>
      <c r="C6" s="5">
        <v>1491</v>
      </c>
      <c r="D6" s="1" t="s">
        <v>74</v>
      </c>
      <c r="E6" s="6">
        <f t="shared" si="0"/>
        <v>44.73</v>
      </c>
      <c r="F6" s="6">
        <f t="shared" si="1"/>
        <v>1446.27</v>
      </c>
      <c r="G6" s="2">
        <v>245743200</v>
      </c>
      <c r="H6" s="2" t="s">
        <v>110</v>
      </c>
    </row>
    <row r="7" spans="1:8" s="7" customFormat="1" x14ac:dyDescent="0.25">
      <c r="A7" s="4" t="s">
        <v>26</v>
      </c>
      <c r="B7" s="4" t="s">
        <v>27</v>
      </c>
      <c r="C7" s="5">
        <v>492</v>
      </c>
      <c r="D7" s="1" t="s">
        <v>74</v>
      </c>
      <c r="E7" s="6">
        <f t="shared" si="0"/>
        <v>14.76</v>
      </c>
      <c r="F7" s="6">
        <f t="shared" si="1"/>
        <v>477.24</v>
      </c>
      <c r="G7" s="2">
        <v>548515018</v>
      </c>
      <c r="H7" s="2" t="s">
        <v>110</v>
      </c>
    </row>
    <row r="8" spans="1:8" s="7" customFormat="1" x14ac:dyDescent="0.25">
      <c r="A8" s="4" t="s">
        <v>28</v>
      </c>
      <c r="B8" s="4" t="s">
        <v>29</v>
      </c>
      <c r="C8" s="5">
        <v>547</v>
      </c>
      <c r="D8" s="1" t="s">
        <v>74</v>
      </c>
      <c r="E8" s="6">
        <f t="shared" si="0"/>
        <v>16.41</v>
      </c>
      <c r="F8" s="6">
        <f t="shared" si="1"/>
        <v>530.59</v>
      </c>
      <c r="G8" s="2">
        <v>246411828</v>
      </c>
      <c r="H8" s="2" t="s">
        <v>110</v>
      </c>
    </row>
    <row r="9" spans="1:8" s="7" customFormat="1" x14ac:dyDescent="0.25">
      <c r="A9" s="4" t="s">
        <v>30</v>
      </c>
      <c r="B9" s="4" t="s">
        <v>31</v>
      </c>
      <c r="C9" s="5">
        <v>1089</v>
      </c>
      <c r="D9" s="1" t="s">
        <v>74</v>
      </c>
      <c r="E9" s="6">
        <f t="shared" si="0"/>
        <v>32.67</v>
      </c>
      <c r="F9" s="6">
        <f t="shared" si="1"/>
        <v>1056.33</v>
      </c>
      <c r="G9" s="2">
        <v>539282807</v>
      </c>
      <c r="H9" s="2" t="s">
        <v>110</v>
      </c>
    </row>
    <row r="10" spans="1:8" x14ac:dyDescent="0.25">
      <c r="A10" s="4" t="s">
        <v>32</v>
      </c>
      <c r="B10" s="4" t="s">
        <v>33</v>
      </c>
      <c r="C10" s="5">
        <v>1200</v>
      </c>
      <c r="D10" s="1" t="s">
        <v>74</v>
      </c>
      <c r="E10" s="6">
        <f t="shared" si="0"/>
        <v>36</v>
      </c>
      <c r="F10" s="6">
        <f t="shared" si="1"/>
        <v>1164</v>
      </c>
      <c r="G10" s="2">
        <v>541168796</v>
      </c>
      <c r="H10" s="2" t="s">
        <v>110</v>
      </c>
    </row>
    <row r="11" spans="1:8" x14ac:dyDescent="0.25">
      <c r="A11" s="4" t="s">
        <v>36</v>
      </c>
      <c r="B11" s="4" t="s">
        <v>37</v>
      </c>
      <c r="C11" s="5">
        <v>597</v>
      </c>
      <c r="D11" s="1" t="s">
        <v>74</v>
      </c>
      <c r="E11" s="6">
        <f t="shared" si="0"/>
        <v>17.91</v>
      </c>
      <c r="F11" s="6">
        <f t="shared" si="1"/>
        <v>579.09</v>
      </c>
      <c r="G11" s="2">
        <v>205360773</v>
      </c>
      <c r="H11" s="2" t="s">
        <v>110</v>
      </c>
    </row>
    <row r="12" spans="1:8" s="7" customFormat="1" x14ac:dyDescent="0.25">
      <c r="A12" s="4" t="s">
        <v>40</v>
      </c>
      <c r="B12" s="4" t="s">
        <v>41</v>
      </c>
      <c r="C12" s="5">
        <v>709</v>
      </c>
      <c r="D12" s="1" t="s">
        <v>74</v>
      </c>
      <c r="E12" s="6">
        <f t="shared" si="0"/>
        <v>21.27</v>
      </c>
      <c r="F12" s="6">
        <f t="shared" si="1"/>
        <v>687.73</v>
      </c>
      <c r="G12" s="2">
        <v>555101425</v>
      </c>
      <c r="H12" s="2" t="s">
        <v>110</v>
      </c>
    </row>
    <row r="13" spans="1:8" x14ac:dyDescent="0.25">
      <c r="A13" s="4" t="s">
        <v>44</v>
      </c>
      <c r="B13" s="4" t="s">
        <v>45</v>
      </c>
      <c r="C13" s="5">
        <v>932</v>
      </c>
      <c r="D13" s="1" t="s">
        <v>74</v>
      </c>
      <c r="E13" s="6">
        <f t="shared" si="0"/>
        <v>27.959999999999997</v>
      </c>
      <c r="F13" s="6">
        <f t="shared" si="1"/>
        <v>904.04</v>
      </c>
      <c r="G13" s="2">
        <v>554544443</v>
      </c>
      <c r="H13" s="2" t="s">
        <v>110</v>
      </c>
    </row>
    <row r="14" spans="1:8" x14ac:dyDescent="0.25">
      <c r="A14" s="4" t="s">
        <v>46</v>
      </c>
      <c r="B14" s="4" t="s">
        <v>47</v>
      </c>
      <c r="C14" s="5">
        <v>947</v>
      </c>
      <c r="D14" s="1" t="s">
        <v>74</v>
      </c>
      <c r="E14" s="6">
        <f t="shared" si="0"/>
        <v>28.41</v>
      </c>
      <c r="F14" s="6">
        <f t="shared" si="1"/>
        <v>918.59</v>
      </c>
      <c r="G14" s="2">
        <v>547037677</v>
      </c>
      <c r="H14" s="2" t="s">
        <v>110</v>
      </c>
    </row>
    <row r="15" spans="1:8" x14ac:dyDescent="0.25">
      <c r="A15" s="4" t="s">
        <v>48</v>
      </c>
      <c r="B15" s="4" t="s">
        <v>49</v>
      </c>
      <c r="C15" s="5">
        <v>1011</v>
      </c>
      <c r="D15" s="1" t="s">
        <v>74</v>
      </c>
      <c r="E15" s="6">
        <f t="shared" si="0"/>
        <v>30.33</v>
      </c>
      <c r="F15" s="6">
        <f t="shared" si="1"/>
        <v>980.67</v>
      </c>
      <c r="G15" s="2">
        <v>592104551</v>
      </c>
      <c r="H15" s="2" t="s">
        <v>110</v>
      </c>
    </row>
    <row r="16" spans="1:8" s="7" customFormat="1" x14ac:dyDescent="0.25">
      <c r="A16" s="4" t="s">
        <v>52</v>
      </c>
      <c r="B16" s="4" t="s">
        <v>53</v>
      </c>
      <c r="C16" s="5">
        <v>156</v>
      </c>
      <c r="D16" s="1" t="s">
        <v>74</v>
      </c>
      <c r="E16" s="6">
        <f t="shared" si="0"/>
        <v>4.68</v>
      </c>
      <c r="F16" s="6">
        <f t="shared" si="1"/>
        <v>151.32</v>
      </c>
      <c r="G16" s="2">
        <v>243444322</v>
      </c>
      <c r="H16" s="2" t="s">
        <v>110</v>
      </c>
    </row>
    <row r="17" spans="1:8" x14ac:dyDescent="0.25">
      <c r="A17" s="4" t="s">
        <v>54</v>
      </c>
      <c r="B17" s="4" t="s">
        <v>55</v>
      </c>
      <c r="C17" s="5">
        <v>1617</v>
      </c>
      <c r="D17" s="1" t="s">
        <v>74</v>
      </c>
      <c r="E17" s="6">
        <f t="shared" si="0"/>
        <v>48.51</v>
      </c>
      <c r="F17" s="6">
        <f t="shared" si="1"/>
        <v>1568.49</v>
      </c>
      <c r="G17" s="2">
        <v>242535537</v>
      </c>
      <c r="H17" s="2" t="s">
        <v>110</v>
      </c>
    </row>
    <row r="18" spans="1:8" x14ac:dyDescent="0.25">
      <c r="A18" s="4" t="s">
        <v>56</v>
      </c>
      <c r="B18" s="4" t="s">
        <v>57</v>
      </c>
      <c r="C18" s="5">
        <v>404</v>
      </c>
      <c r="D18" s="1" t="s">
        <v>74</v>
      </c>
      <c r="E18" s="6">
        <f t="shared" si="0"/>
        <v>12.12</v>
      </c>
      <c r="F18" s="6">
        <f t="shared" si="1"/>
        <v>391.88</v>
      </c>
      <c r="G18" s="2">
        <v>244041253</v>
      </c>
      <c r="H18" s="2" t="s">
        <v>110</v>
      </c>
    </row>
    <row r="19" spans="1:8" x14ac:dyDescent="0.25">
      <c r="A19" s="4" t="s">
        <v>58</v>
      </c>
      <c r="B19" s="4" t="s">
        <v>59</v>
      </c>
      <c r="C19" s="5">
        <v>191</v>
      </c>
      <c r="D19" s="1" t="s">
        <v>74</v>
      </c>
      <c r="E19" s="6">
        <f t="shared" si="0"/>
        <v>5.7299999999999995</v>
      </c>
      <c r="F19" s="6">
        <f t="shared" si="1"/>
        <v>185.27</v>
      </c>
      <c r="G19" s="2">
        <v>245212618</v>
      </c>
      <c r="H19" s="2" t="s">
        <v>110</v>
      </c>
    </row>
    <row r="20" spans="1:8" x14ac:dyDescent="0.25">
      <c r="A20" s="4" t="s">
        <v>60</v>
      </c>
      <c r="B20" s="4" t="s">
        <v>61</v>
      </c>
      <c r="C20" s="5">
        <v>804</v>
      </c>
      <c r="D20" s="1" t="s">
        <v>74</v>
      </c>
      <c r="E20" s="6">
        <f t="shared" si="0"/>
        <v>24.119999999999997</v>
      </c>
      <c r="F20" s="6">
        <f t="shared" si="1"/>
        <v>779.88</v>
      </c>
      <c r="G20" s="2">
        <v>544231771</v>
      </c>
      <c r="H20" s="2" t="s">
        <v>110</v>
      </c>
    </row>
    <row r="21" spans="1:8" s="7" customFormat="1" x14ac:dyDescent="0.25">
      <c r="A21" s="4" t="s">
        <v>62</v>
      </c>
      <c r="B21" s="4" t="s">
        <v>63</v>
      </c>
      <c r="C21" s="5">
        <v>1717</v>
      </c>
      <c r="D21" s="1" t="s">
        <v>74</v>
      </c>
      <c r="E21" s="6">
        <f t="shared" si="0"/>
        <v>51.51</v>
      </c>
      <c r="F21" s="6">
        <f t="shared" si="1"/>
        <v>1665.49</v>
      </c>
      <c r="G21" s="2">
        <v>200180102</v>
      </c>
      <c r="H21" s="2" t="s">
        <v>110</v>
      </c>
    </row>
    <row r="22" spans="1:8" x14ac:dyDescent="0.25">
      <c r="A22" s="4" t="s">
        <v>64</v>
      </c>
      <c r="B22" s="4" t="s">
        <v>65</v>
      </c>
      <c r="C22" s="5">
        <v>943</v>
      </c>
      <c r="D22" s="1" t="s">
        <v>74</v>
      </c>
      <c r="E22" s="6">
        <f t="shared" si="0"/>
        <v>28.29</v>
      </c>
      <c r="F22" s="6">
        <f t="shared" si="1"/>
        <v>914.71</v>
      </c>
      <c r="G22" s="2">
        <v>552799477</v>
      </c>
      <c r="H22" s="2" t="s">
        <v>110</v>
      </c>
    </row>
    <row r="23" spans="1:8" x14ac:dyDescent="0.25">
      <c r="A23" s="4" t="s">
        <v>66</v>
      </c>
      <c r="B23" s="4" t="s">
        <v>67</v>
      </c>
      <c r="C23" s="5">
        <v>254</v>
      </c>
      <c r="D23" s="1" t="s">
        <v>74</v>
      </c>
      <c r="E23" s="6">
        <f t="shared" si="0"/>
        <v>7.62</v>
      </c>
      <c r="F23" s="6">
        <f t="shared" si="1"/>
        <v>246.38</v>
      </c>
      <c r="G23" s="2">
        <v>550817891</v>
      </c>
      <c r="H23" s="2" t="s">
        <v>110</v>
      </c>
    </row>
    <row r="24" spans="1:8" x14ac:dyDescent="0.25">
      <c r="A24" s="4" t="s">
        <v>68</v>
      </c>
      <c r="B24" s="4" t="s">
        <v>69</v>
      </c>
      <c r="C24" s="5">
        <v>1100</v>
      </c>
      <c r="D24" s="1" t="s">
        <v>74</v>
      </c>
      <c r="E24" s="6">
        <f t="shared" si="0"/>
        <v>33</v>
      </c>
      <c r="F24" s="6">
        <f t="shared" si="1"/>
        <v>1067</v>
      </c>
      <c r="G24" s="2">
        <v>539682355</v>
      </c>
      <c r="H24" s="2" t="s">
        <v>110</v>
      </c>
    </row>
    <row r="25" spans="1:8" x14ac:dyDescent="0.25">
      <c r="A25" s="1" t="s">
        <v>70</v>
      </c>
      <c r="B25" s="1" t="s">
        <v>71</v>
      </c>
      <c r="C25" s="11">
        <v>1029</v>
      </c>
      <c r="D25" s="1" t="s">
        <v>74</v>
      </c>
      <c r="E25" s="6">
        <f t="shared" ref="E25" si="2">C25*3%</f>
        <v>30.869999999999997</v>
      </c>
      <c r="F25" s="6">
        <f t="shared" ref="F25" si="3">C25-E25</f>
        <v>998.13</v>
      </c>
      <c r="G25" s="2">
        <v>248759755</v>
      </c>
      <c r="H25" s="2" t="s">
        <v>110</v>
      </c>
    </row>
    <row r="26" spans="1:8" x14ac:dyDescent="0.25">
      <c r="A26" s="1" t="s">
        <v>72</v>
      </c>
      <c r="B26" s="1" t="s">
        <v>73</v>
      </c>
      <c r="C26" s="11">
        <v>649</v>
      </c>
      <c r="D26" s="1" t="s">
        <v>74</v>
      </c>
      <c r="E26" s="6">
        <f t="shared" ref="E26:E45" si="4">C26*3%</f>
        <v>19.47</v>
      </c>
      <c r="F26" s="6">
        <f t="shared" ref="F26:F32" si="5">C26-E26</f>
        <v>629.53</v>
      </c>
      <c r="G26" s="2">
        <v>503558090</v>
      </c>
      <c r="H26" s="2" t="s">
        <v>110</v>
      </c>
    </row>
    <row r="27" spans="1:8" x14ac:dyDescent="0.25">
      <c r="A27" s="1" t="s">
        <v>75</v>
      </c>
      <c r="B27" s="1" t="s">
        <v>76</v>
      </c>
      <c r="C27" s="11">
        <v>467</v>
      </c>
      <c r="D27" s="1" t="s">
        <v>74</v>
      </c>
      <c r="E27" s="6">
        <f t="shared" si="4"/>
        <v>14.01</v>
      </c>
      <c r="F27" s="6">
        <f t="shared" si="5"/>
        <v>452.99</v>
      </c>
      <c r="G27" s="2">
        <v>557246546</v>
      </c>
      <c r="H27" s="2" t="s">
        <v>110</v>
      </c>
    </row>
    <row r="28" spans="1:8" x14ac:dyDescent="0.25">
      <c r="A28" s="1" t="s">
        <v>77</v>
      </c>
      <c r="B28" s="1" t="s">
        <v>78</v>
      </c>
      <c r="C28" s="11">
        <v>224</v>
      </c>
      <c r="D28" s="1" t="s">
        <v>74</v>
      </c>
      <c r="E28" s="6">
        <f t="shared" si="4"/>
        <v>6.72</v>
      </c>
      <c r="F28" s="6">
        <f t="shared" si="5"/>
        <v>217.28</v>
      </c>
      <c r="G28" s="2">
        <v>205219248</v>
      </c>
      <c r="H28" s="2" t="s">
        <v>110</v>
      </c>
    </row>
    <row r="29" spans="1:8" x14ac:dyDescent="0.25">
      <c r="A29" s="1" t="s">
        <v>79</v>
      </c>
      <c r="B29" s="1" t="s">
        <v>80</v>
      </c>
      <c r="C29" s="11">
        <v>607</v>
      </c>
      <c r="D29" s="1" t="s">
        <v>74</v>
      </c>
      <c r="E29" s="1">
        <f t="shared" si="4"/>
        <v>18.21</v>
      </c>
      <c r="F29" s="1">
        <f t="shared" si="5"/>
        <v>588.79</v>
      </c>
      <c r="G29" s="2">
        <v>200171800</v>
      </c>
      <c r="H29" s="2" t="s">
        <v>110</v>
      </c>
    </row>
    <row r="30" spans="1:8" x14ac:dyDescent="0.25">
      <c r="A30" s="1" t="s">
        <v>81</v>
      </c>
      <c r="B30" s="1" t="s">
        <v>82</v>
      </c>
      <c r="C30" s="11">
        <v>1207</v>
      </c>
      <c r="D30" s="1" t="s">
        <v>74</v>
      </c>
      <c r="E30" s="6">
        <f t="shared" si="4"/>
        <v>36.21</v>
      </c>
      <c r="F30" s="6">
        <f t="shared" si="5"/>
        <v>1170.79</v>
      </c>
      <c r="G30" s="2">
        <v>544999626</v>
      </c>
      <c r="H30" s="2" t="s">
        <v>110</v>
      </c>
    </row>
    <row r="31" spans="1:8" x14ac:dyDescent="0.25">
      <c r="A31" s="4" t="s">
        <v>83</v>
      </c>
      <c r="B31" s="4" t="s">
        <v>84</v>
      </c>
      <c r="C31" s="5">
        <v>787</v>
      </c>
      <c r="D31" s="1" t="s">
        <v>74</v>
      </c>
      <c r="E31" s="6">
        <f t="shared" si="4"/>
        <v>23.61</v>
      </c>
      <c r="F31" s="6">
        <f t="shared" si="5"/>
        <v>763.39</v>
      </c>
      <c r="G31" s="2">
        <v>245810381</v>
      </c>
      <c r="H31" s="2" t="s">
        <v>110</v>
      </c>
    </row>
    <row r="32" spans="1:8" x14ac:dyDescent="0.25">
      <c r="A32" s="4" t="s">
        <v>83</v>
      </c>
      <c r="B32" s="4" t="s">
        <v>84</v>
      </c>
      <c r="C32" s="5">
        <v>787</v>
      </c>
      <c r="D32" s="1" t="s">
        <v>74</v>
      </c>
      <c r="E32" s="6">
        <f t="shared" si="4"/>
        <v>23.61</v>
      </c>
      <c r="F32" s="6">
        <f t="shared" si="5"/>
        <v>763.39</v>
      </c>
      <c r="G32" s="2">
        <v>245810381</v>
      </c>
      <c r="H32" s="2" t="s">
        <v>110</v>
      </c>
    </row>
    <row r="33" spans="1:8" x14ac:dyDescent="0.25">
      <c r="A33" s="1" t="s">
        <v>85</v>
      </c>
      <c r="B33" s="1" t="s">
        <v>86</v>
      </c>
      <c r="C33" s="11">
        <v>302</v>
      </c>
      <c r="D33" s="1" t="s">
        <v>74</v>
      </c>
      <c r="E33" s="6">
        <f t="shared" si="4"/>
        <v>9.06</v>
      </c>
      <c r="F33" s="6">
        <f t="shared" ref="F33:F47" si="6">C33-E33</f>
        <v>292.94</v>
      </c>
      <c r="G33" s="2">
        <v>245372079</v>
      </c>
      <c r="H33" s="2" t="s">
        <v>110</v>
      </c>
    </row>
    <row r="34" spans="1:8" x14ac:dyDescent="0.25">
      <c r="A34" s="1" t="s">
        <v>87</v>
      </c>
      <c r="B34" s="1" t="s">
        <v>88</v>
      </c>
      <c r="C34" s="11">
        <v>1070</v>
      </c>
      <c r="D34" s="1" t="s">
        <v>74</v>
      </c>
      <c r="E34" s="6">
        <f t="shared" si="4"/>
        <v>32.1</v>
      </c>
      <c r="F34" s="6">
        <f t="shared" si="6"/>
        <v>1037.9000000000001</v>
      </c>
      <c r="G34" s="2">
        <v>541999991</v>
      </c>
      <c r="H34" s="2" t="s">
        <v>110</v>
      </c>
    </row>
    <row r="35" spans="1:8" x14ac:dyDescent="0.25">
      <c r="A35" s="1" t="s">
        <v>89</v>
      </c>
      <c r="B35" s="1" t="s">
        <v>90</v>
      </c>
      <c r="C35" s="11">
        <v>1292</v>
      </c>
      <c r="D35" s="1" t="s">
        <v>74</v>
      </c>
      <c r="E35" s="6">
        <f t="shared" si="4"/>
        <v>38.76</v>
      </c>
      <c r="F35" s="6">
        <f t="shared" si="6"/>
        <v>1253.24</v>
      </c>
      <c r="G35" s="2">
        <v>541194825</v>
      </c>
      <c r="H35" s="2" t="s">
        <v>110</v>
      </c>
    </row>
    <row r="36" spans="1:8" x14ac:dyDescent="0.25">
      <c r="A36" s="1" t="s">
        <v>91</v>
      </c>
      <c r="B36" s="1" t="s">
        <v>92</v>
      </c>
      <c r="C36" s="11">
        <v>968</v>
      </c>
      <c r="D36" s="1" t="s">
        <v>74</v>
      </c>
      <c r="E36" s="6">
        <f t="shared" si="4"/>
        <v>29.04</v>
      </c>
      <c r="F36" s="6">
        <f t="shared" si="6"/>
        <v>938.96</v>
      </c>
      <c r="G36" s="2">
        <v>544916941</v>
      </c>
      <c r="H36" s="2" t="s">
        <v>110</v>
      </c>
    </row>
    <row r="37" spans="1:8" x14ac:dyDescent="0.25">
      <c r="A37" s="1" t="s">
        <v>93</v>
      </c>
      <c r="B37" s="1" t="s">
        <v>94</v>
      </c>
      <c r="C37" s="11">
        <v>522</v>
      </c>
      <c r="D37" s="1" t="s">
        <v>74</v>
      </c>
      <c r="E37" s="6">
        <f t="shared" si="4"/>
        <v>15.66</v>
      </c>
      <c r="F37" s="6">
        <f t="shared" si="6"/>
        <v>506.34</v>
      </c>
      <c r="G37" s="2">
        <v>244809844</v>
      </c>
      <c r="H37" s="2" t="s">
        <v>110</v>
      </c>
    </row>
    <row r="38" spans="1:8" x14ac:dyDescent="0.25">
      <c r="A38" s="1" t="s">
        <v>95</v>
      </c>
      <c r="B38" s="1" t="s">
        <v>96</v>
      </c>
      <c r="C38" s="11">
        <v>219</v>
      </c>
      <c r="D38" s="1" t="s">
        <v>74</v>
      </c>
      <c r="E38" s="6">
        <f t="shared" si="4"/>
        <v>6.5699999999999994</v>
      </c>
      <c r="F38" s="6">
        <f t="shared" si="6"/>
        <v>212.43</v>
      </c>
      <c r="G38" s="2">
        <v>246854800</v>
      </c>
      <c r="H38" s="2" t="s">
        <v>110</v>
      </c>
    </row>
    <row r="39" spans="1:8" x14ac:dyDescent="0.25">
      <c r="A39" s="1" t="s">
        <v>97</v>
      </c>
      <c r="B39" s="1" t="s">
        <v>98</v>
      </c>
      <c r="C39" s="11">
        <v>346</v>
      </c>
      <c r="D39" s="1" t="s">
        <v>74</v>
      </c>
      <c r="E39" s="6">
        <f t="shared" si="4"/>
        <v>10.379999999999999</v>
      </c>
      <c r="F39" s="6">
        <f t="shared" si="6"/>
        <v>335.62</v>
      </c>
      <c r="G39" s="2">
        <v>248156383</v>
      </c>
      <c r="H39" s="2" t="s">
        <v>110</v>
      </c>
    </row>
    <row r="40" spans="1:8" x14ac:dyDescent="0.25">
      <c r="A40" s="1" t="s">
        <v>99</v>
      </c>
      <c r="B40" s="1" t="s">
        <v>100</v>
      </c>
      <c r="C40" s="11">
        <v>619</v>
      </c>
      <c r="D40" s="1" t="s">
        <v>74</v>
      </c>
      <c r="E40" s="6">
        <f t="shared" si="4"/>
        <v>18.57</v>
      </c>
      <c r="F40" s="6">
        <f t="shared" si="6"/>
        <v>600.42999999999995</v>
      </c>
      <c r="G40" s="2">
        <v>244547797</v>
      </c>
      <c r="H40" s="2" t="s">
        <v>110</v>
      </c>
    </row>
    <row r="41" spans="1:8" x14ac:dyDescent="0.25">
      <c r="A41" s="1" t="s">
        <v>101</v>
      </c>
      <c r="B41" s="1" t="s">
        <v>102</v>
      </c>
      <c r="C41" s="11">
        <v>2013</v>
      </c>
      <c r="D41" s="1" t="s">
        <v>74</v>
      </c>
      <c r="E41" s="6">
        <f t="shared" si="4"/>
        <v>60.39</v>
      </c>
      <c r="F41" s="6">
        <f t="shared" si="6"/>
        <v>1952.61</v>
      </c>
      <c r="G41" s="2">
        <v>206525491</v>
      </c>
      <c r="H41" s="2" t="s">
        <v>110</v>
      </c>
    </row>
    <row r="42" spans="1:8" x14ac:dyDescent="0.25">
      <c r="A42" s="1" t="s">
        <v>103</v>
      </c>
      <c r="B42" s="1" t="s">
        <v>104</v>
      </c>
      <c r="C42" s="11">
        <v>502</v>
      </c>
      <c r="D42" s="1" t="s">
        <v>74</v>
      </c>
      <c r="E42" s="6">
        <f t="shared" si="4"/>
        <v>15.059999999999999</v>
      </c>
      <c r="F42" s="6">
        <f t="shared" si="6"/>
        <v>486.94</v>
      </c>
      <c r="G42" s="2">
        <v>246958426</v>
      </c>
      <c r="H42" s="2" t="s">
        <v>110</v>
      </c>
    </row>
    <row r="43" spans="1:8" x14ac:dyDescent="0.25">
      <c r="A43" s="1" t="s">
        <v>103</v>
      </c>
      <c r="B43" s="1" t="s">
        <v>104</v>
      </c>
      <c r="C43" s="11">
        <v>500.91669999999999</v>
      </c>
      <c r="D43" s="1" t="s">
        <v>74</v>
      </c>
      <c r="E43" s="6">
        <f t="shared" si="4"/>
        <v>15.027500999999999</v>
      </c>
      <c r="F43" s="6">
        <f t="shared" si="6"/>
        <v>485.88919900000002</v>
      </c>
      <c r="G43" s="2">
        <v>246958426</v>
      </c>
      <c r="H43" s="2" t="s">
        <v>110</v>
      </c>
    </row>
    <row r="44" spans="1:8" x14ac:dyDescent="0.25">
      <c r="A44" s="1" t="s">
        <v>105</v>
      </c>
      <c r="B44" s="1" t="s">
        <v>106</v>
      </c>
      <c r="C44" s="11">
        <v>988</v>
      </c>
      <c r="D44" s="1" t="s">
        <v>74</v>
      </c>
      <c r="E44" s="6">
        <f t="shared" si="4"/>
        <v>29.64</v>
      </c>
      <c r="F44" s="6">
        <f t="shared" si="6"/>
        <v>958.36</v>
      </c>
      <c r="G44" s="2">
        <v>556920391</v>
      </c>
      <c r="H44" s="2" t="s">
        <v>110</v>
      </c>
    </row>
    <row r="45" spans="1:8" x14ac:dyDescent="0.25">
      <c r="A45" s="1" t="s">
        <v>105</v>
      </c>
      <c r="B45" s="1" t="s">
        <v>106</v>
      </c>
      <c r="C45" s="11">
        <v>988</v>
      </c>
      <c r="D45" s="1" t="s">
        <v>74</v>
      </c>
      <c r="E45" s="6">
        <f t="shared" si="4"/>
        <v>29.64</v>
      </c>
      <c r="F45" s="6">
        <f t="shared" si="6"/>
        <v>958.36</v>
      </c>
      <c r="G45" s="2">
        <v>556920391</v>
      </c>
      <c r="H45" s="2" t="s">
        <v>110</v>
      </c>
    </row>
    <row r="46" spans="1:8" x14ac:dyDescent="0.25">
      <c r="A46" s="4" t="s">
        <v>107</v>
      </c>
      <c r="B46" s="4" t="s">
        <v>108</v>
      </c>
      <c r="C46" s="11">
        <v>1402</v>
      </c>
      <c r="D46" s="1" t="s">
        <v>74</v>
      </c>
      <c r="E46" s="6">
        <f>C46*3%</f>
        <v>42.059999999999995</v>
      </c>
      <c r="F46" s="6">
        <f t="shared" si="6"/>
        <v>1359.94</v>
      </c>
      <c r="G46" s="2">
        <v>248176707</v>
      </c>
      <c r="H46" s="2" t="s">
        <v>110</v>
      </c>
    </row>
    <row r="47" spans="1:8" x14ac:dyDescent="0.25">
      <c r="A47" s="4" t="s">
        <v>18</v>
      </c>
      <c r="B47" s="4" t="s">
        <v>19</v>
      </c>
      <c r="C47" s="5">
        <v>224</v>
      </c>
      <c r="D47" s="1" t="s">
        <v>74</v>
      </c>
      <c r="E47" s="6">
        <f>C47*3%</f>
        <v>6.72</v>
      </c>
      <c r="F47" s="6">
        <f t="shared" si="6"/>
        <v>217.28</v>
      </c>
      <c r="G47" s="2">
        <v>241690493</v>
      </c>
      <c r="H47" s="2" t="s">
        <v>110</v>
      </c>
    </row>
    <row r="48" spans="1:8" x14ac:dyDescent="0.25">
      <c r="A48" s="2" t="s">
        <v>109</v>
      </c>
      <c r="B48" s="2"/>
      <c r="C48" s="12">
        <f>SUM(C2:C47)</f>
        <v>35995.916700000002</v>
      </c>
      <c r="D48" s="2"/>
      <c r="E48" s="13">
        <f>SUM(E2:E47)</f>
        <v>1079.8775010000002</v>
      </c>
      <c r="F48" s="13">
        <f>SUM(F2:F47)</f>
        <v>34916.039199000006</v>
      </c>
      <c r="G48" s="2"/>
      <c r="H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F5DF-C7BD-4BA9-BB9C-842F72AE7A06}">
  <dimension ref="A2:I9"/>
  <sheetViews>
    <sheetView workbookViewId="0">
      <selection activeCell="I8" sqref="I8"/>
    </sheetView>
  </sheetViews>
  <sheetFormatPr defaultRowHeight="15" x14ac:dyDescent="0.25"/>
  <cols>
    <col min="1" max="1" width="13.42578125" customWidth="1"/>
    <col min="2" max="2" width="42.42578125" customWidth="1"/>
    <col min="3" max="3" width="15" customWidth="1"/>
    <col min="7" max="7" width="18.85546875" customWidth="1"/>
    <col min="8" max="8" width="14.5703125" customWidth="1"/>
  </cols>
  <sheetData>
    <row r="2" spans="1:9" x14ac:dyDescent="0.25">
      <c r="A2" s="4" t="s">
        <v>42</v>
      </c>
      <c r="B2" s="4" t="s">
        <v>43</v>
      </c>
      <c r="C2" s="5">
        <v>671</v>
      </c>
      <c r="D2" s="1" t="s">
        <v>74</v>
      </c>
      <c r="E2" s="6">
        <f>C2*3%</f>
        <v>20.13</v>
      </c>
      <c r="F2" s="6">
        <f>C2-E2</f>
        <v>650.87</v>
      </c>
      <c r="G2" s="2">
        <v>205360773</v>
      </c>
      <c r="H2" s="2" t="s">
        <v>110</v>
      </c>
      <c r="I2" t="s">
        <v>112</v>
      </c>
    </row>
    <row r="3" spans="1:9" x14ac:dyDescent="0.25">
      <c r="A3" s="4" t="s">
        <v>8</v>
      </c>
      <c r="B3" s="4" t="s">
        <v>9</v>
      </c>
      <c r="C3" s="5">
        <v>1208</v>
      </c>
      <c r="D3" s="1" t="s">
        <v>74</v>
      </c>
      <c r="E3" s="6">
        <f>C3*3%</f>
        <v>36.24</v>
      </c>
      <c r="F3" s="6">
        <f>C3-E3</f>
        <v>1171.76</v>
      </c>
      <c r="G3" s="2" t="s">
        <v>111</v>
      </c>
      <c r="H3" s="2" t="s">
        <v>110</v>
      </c>
    </row>
    <row r="4" spans="1:9" x14ac:dyDescent="0.25">
      <c r="A4" s="4" t="s">
        <v>14</v>
      </c>
      <c r="B4" s="4" t="s">
        <v>15</v>
      </c>
      <c r="C4" s="5">
        <v>485</v>
      </c>
      <c r="D4" s="1" t="s">
        <v>74</v>
      </c>
      <c r="E4" s="6">
        <f>C4*3%</f>
        <v>14.549999999999999</v>
      </c>
      <c r="F4" s="6">
        <f>C4-E4</f>
        <v>470.45</v>
      </c>
      <c r="G4" s="2" t="s">
        <v>111</v>
      </c>
      <c r="H4" s="2" t="s">
        <v>110</v>
      </c>
    </row>
    <row r="6" spans="1:9" x14ac:dyDescent="0.25">
      <c r="A6" s="4" t="s">
        <v>20</v>
      </c>
      <c r="B6" s="4" t="s">
        <v>21</v>
      </c>
      <c r="C6" s="5">
        <v>313</v>
      </c>
      <c r="D6" s="1" t="s">
        <v>74</v>
      </c>
      <c r="E6" s="6">
        <f>C6*3%</f>
        <v>9.3899999999999988</v>
      </c>
      <c r="F6" s="6">
        <f>C6-E6</f>
        <v>303.61</v>
      </c>
      <c r="G6" s="2" t="s">
        <v>111</v>
      </c>
      <c r="H6" s="2" t="s">
        <v>110</v>
      </c>
    </row>
    <row r="7" spans="1:9" x14ac:dyDescent="0.25">
      <c r="A7" s="4" t="s">
        <v>34</v>
      </c>
      <c r="B7" s="4" t="s">
        <v>35</v>
      </c>
      <c r="C7" s="5">
        <v>1081</v>
      </c>
      <c r="D7" s="1" t="s">
        <v>74</v>
      </c>
      <c r="E7" s="6">
        <f>C7*3%</f>
        <v>32.43</v>
      </c>
      <c r="F7" s="6">
        <f>C7-E7</f>
        <v>1048.57</v>
      </c>
      <c r="G7" s="2" t="s">
        <v>111</v>
      </c>
      <c r="H7" s="2" t="s">
        <v>110</v>
      </c>
      <c r="I7" t="s">
        <v>114</v>
      </c>
    </row>
    <row r="8" spans="1:9" x14ac:dyDescent="0.25">
      <c r="A8" s="4" t="s">
        <v>50</v>
      </c>
      <c r="B8" s="4" t="s">
        <v>51</v>
      </c>
      <c r="C8" s="5">
        <v>1059</v>
      </c>
      <c r="D8" s="1" t="s">
        <v>74</v>
      </c>
      <c r="E8" s="6">
        <f>C8*3%</f>
        <v>31.77</v>
      </c>
      <c r="F8" s="6">
        <f>C8-E8</f>
        <v>1027.23</v>
      </c>
      <c r="G8" s="2" t="s">
        <v>111</v>
      </c>
      <c r="H8" s="2" t="s">
        <v>110</v>
      </c>
    </row>
    <row r="9" spans="1:9" x14ac:dyDescent="0.25">
      <c r="A9" s="4" t="s">
        <v>38</v>
      </c>
      <c r="B9" s="4" t="s">
        <v>39</v>
      </c>
      <c r="C9" s="5">
        <v>502</v>
      </c>
      <c r="D9" s="1" t="s">
        <v>74</v>
      </c>
      <c r="E9" s="6">
        <f>C9*3%</f>
        <v>15.059999999999999</v>
      </c>
      <c r="F9" s="6">
        <f>C9-E9</f>
        <v>486.94</v>
      </c>
      <c r="G9" s="2" t="s">
        <v>113</v>
      </c>
      <c r="H9" s="2" t="s">
        <v>110</v>
      </c>
      <c r="I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Awuku</dc:creator>
  <cp:lastModifiedBy>Joyceline Kayi</cp:lastModifiedBy>
  <dcterms:created xsi:type="dcterms:W3CDTF">2025-09-24T12:29:10Z</dcterms:created>
  <dcterms:modified xsi:type="dcterms:W3CDTF">2026-06-03T10:02:01Z</dcterms:modified>
</cp:coreProperties>
</file>